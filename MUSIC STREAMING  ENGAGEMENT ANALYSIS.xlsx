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c956716c5bd3b7c/Documents/"/>
    </mc:Choice>
  </mc:AlternateContent>
  <xr:revisionPtr revIDLastSave="610" documentId="8_{CA564C3A-1CD8-4B24-B9CC-6E443A2339FD}" xr6:coauthVersionLast="47" xr6:coauthVersionMax="47" xr10:uidLastSave="{F614DD69-DA1B-4683-90F4-D9A262472644}"/>
  <bookViews>
    <workbookView xWindow="-108" yWindow="-108" windowWidth="23256" windowHeight="12456" firstSheet="3" activeTab="3" xr2:uid="{F4E1C45A-6DAA-4360-8E4F-23090D7C84A4}"/>
  </bookViews>
  <sheets>
    <sheet name="DATA" sheetId="1" r:id="rId1"/>
    <sheet name="USER ENGAGEMENT BY MUSIC GENRE" sheetId="2" r:id="rId2"/>
    <sheet name="ENGAGEMEN BY SUBSCRIPTION TYPE " sheetId="3" r:id="rId3"/>
    <sheet name="MUSIC STREAMING ENGAGEMENT DASH" sheetId="5" r:id="rId4"/>
  </sheets>
  <definedNames>
    <definedName name="Slicer_FAVORITE_GENRE">#N/A</definedName>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5" l="1"/>
  <c r="B4" i="5"/>
</calcChain>
</file>

<file path=xl/sharedStrings.xml><?xml version="1.0" encoding="utf-8"?>
<sst xmlns="http://schemas.openxmlformats.org/spreadsheetml/2006/main" count="55" uniqueCount="22">
  <si>
    <t>USER-ID</t>
  </si>
  <si>
    <t>AGE</t>
  </si>
  <si>
    <t>FAVORITE-GENRE</t>
  </si>
  <si>
    <t>HOURS-STREAMED-PER MONTH</t>
  </si>
  <si>
    <t>FREE</t>
  </si>
  <si>
    <t>POP</t>
  </si>
  <si>
    <t>ROCK</t>
  </si>
  <si>
    <t>HIPHOP</t>
  </si>
  <si>
    <t>PAID</t>
  </si>
  <si>
    <t>SUBSCRIPTION-TYPE</t>
  </si>
  <si>
    <t>Grand Total</t>
  </si>
  <si>
    <t>Row Labels</t>
  </si>
  <si>
    <t>Average of HOURS-STREAMED-PER MONTH</t>
  </si>
  <si>
    <t xml:space="preserve">TOTAL USER </t>
  </si>
  <si>
    <t>AVG. HOURS STREAMED</t>
  </si>
  <si>
    <t>TOP GENRE</t>
  </si>
  <si>
    <t>HIP HOP</t>
  </si>
  <si>
    <t>KEY  INSIGHTS</t>
  </si>
  <si>
    <t>*Rock genre has comparatively lower streaming activity.</t>
  </si>
  <si>
    <t>*HipHop and Pop users stream the highest average hours.</t>
  </si>
  <si>
    <t xml:space="preserve">MUSIC STREAMING ENGAGEMENT DASHBOARD </t>
  </si>
  <si>
    <t>*Free and Paid users show similar engagement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</si>
</sst>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4"/>
      <color theme="3" tint="-0.249977111117893"/>
      <name val="Bahnschrift Light"/>
      <family val="2"/>
    </font>
    <font>
      <b/>
      <sz val="11"/>
      <color theme="3" tint="-0.249977111117893"/>
      <name val="Calibri"/>
      <family val="2"/>
      <scheme val="minor"/>
    </font>
    <font>
      <sz val="14"/>
      <color theme="1"/>
      <name val="Calibri"/>
      <family val="2"/>
      <scheme val="minor"/>
    </font>
    <font>
      <b/>
      <sz val="18"/>
      <color theme="1"/>
      <name val="Calibri"/>
      <family val="2"/>
      <scheme val="minor"/>
    </font>
    <font>
      <b/>
      <sz val="14"/>
      <color theme="1"/>
      <name val="Calibri"/>
      <family val="2"/>
      <scheme val="minor"/>
    </font>
    <font>
      <b/>
      <sz val="24"/>
      <color theme="1"/>
      <name val="Calibri"/>
      <family val="2"/>
      <scheme val="minor"/>
    </font>
    <font>
      <sz val="18"/>
      <color theme="1"/>
      <name val="Calibri"/>
      <family val="2"/>
      <scheme val="minor"/>
    </font>
    <font>
      <sz val="28"/>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2" borderId="1" xfId="0" applyFont="1" applyFill="1" applyBorder="1"/>
    <xf numFmtId="0" fontId="1" fillId="2" borderId="1" xfId="0" applyFont="1" applyFill="1" applyBorder="1" applyAlignment="1">
      <alignment horizontal="left" vertical="top" wrapText="1"/>
    </xf>
    <xf numFmtId="0" fontId="0" fillId="0" borderId="1" xfId="0" applyBorder="1" applyAlignment="1">
      <alignment horizontal="center"/>
    </xf>
    <xf numFmtId="0" fontId="0" fillId="0" borderId="1" xfId="0" applyBorder="1" applyAlignment="1">
      <alignment horizontal="center" vertical="center"/>
    </xf>
    <xf numFmtId="0" fontId="2" fillId="3" borderId="0" xfId="0" applyFont="1" applyFill="1"/>
    <xf numFmtId="0" fontId="2" fillId="3" borderId="2" xfId="0" applyFont="1" applyFill="1" applyBorder="1" applyAlignment="1">
      <alignment horizontal="center"/>
    </xf>
    <xf numFmtId="0" fontId="2" fillId="3" borderId="2" xfId="0" applyFont="1" applyFill="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4" fillId="0" borderId="9" xfId="0" applyFont="1" applyBorder="1" applyAlignment="1">
      <alignment horizontal="center"/>
    </xf>
    <xf numFmtId="164" fontId="4" fillId="0" borderId="9" xfId="0" applyNumberFormat="1" applyFont="1" applyBorder="1" applyAlignment="1">
      <alignment horizontal="center"/>
    </xf>
    <xf numFmtId="164" fontId="4" fillId="0" borderId="10" xfId="0" applyNumberFormat="1" applyFont="1" applyBorder="1" applyAlignment="1">
      <alignment horizontal="center"/>
    </xf>
    <xf numFmtId="164" fontId="4" fillId="0" borderId="11" xfId="0" applyNumberFormat="1" applyFont="1" applyBorder="1" applyAlignment="1">
      <alignment horizontal="center"/>
    </xf>
    <xf numFmtId="0" fontId="5" fillId="4" borderId="3"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NumberFormat="1"/>
    <xf numFmtId="0" fontId="4" fillId="5" borderId="0" xfId="0" applyFont="1" applyFill="1" applyAlignment="1">
      <alignment horizontal="center"/>
    </xf>
    <xf numFmtId="0" fontId="7" fillId="6" borderId="0" xfId="0" applyFont="1" applyFill="1" applyAlignment="1">
      <alignment horizontal="left"/>
    </xf>
    <xf numFmtId="0" fontId="7" fillId="6" borderId="0" xfId="0" applyFont="1" applyFill="1" applyAlignment="1">
      <alignment horizontal="center"/>
    </xf>
    <xf numFmtId="0" fontId="0" fillId="6" borderId="0" xfId="0" applyFill="1" applyAlignment="1">
      <alignment horizontal="center"/>
    </xf>
    <xf numFmtId="0" fontId="0" fillId="6" borderId="0" xfId="0" applyFill="1"/>
    <xf numFmtId="0" fontId="7" fillId="6" borderId="0" xfId="0" applyFont="1" applyFill="1" applyAlignment="1">
      <alignment horizontal="left" vertical="center"/>
    </xf>
    <xf numFmtId="0" fontId="8" fillId="7" borderId="0" xfId="0" applyFont="1" applyFill="1" applyAlignment="1">
      <alignment horizontal="center" vertical="center"/>
    </xf>
  </cellXfs>
  <cellStyles count="1">
    <cellStyle name="Normal" xfId="0" builtinId="0"/>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 STREAMING  ENGAGEMENT ANALYSIS.xlsx]USER ENGAGEMENT BY MUSIC GENRE!PivotTable1</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Streaming Hours by Genre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933004483389E-2"/>
          <c:y val="0.29310645063597818"/>
          <c:w val="0.75072689114249824"/>
          <c:h val="0.46662754896022612"/>
        </c:manualLayout>
      </c:layout>
      <c:barChart>
        <c:barDir val="col"/>
        <c:grouping val="clustered"/>
        <c:varyColors val="0"/>
        <c:ser>
          <c:idx val="0"/>
          <c:order val="0"/>
          <c:tx>
            <c:strRef>
              <c:f>'USER ENGAGEMENT BY MUSIC GENRE'!$B$3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'USER ENGAGEMENT BY MUSIC GENRE'!$A$4:$A$7</c:f>
              <c:strCache>
                <c:ptCount val="3"/>
                <c:pt idx="0">
                  <c:v>HIPHOP</c:v>
                </c:pt>
                <c:pt idx="1">
                  <c:v>POP</c:v>
                </c:pt>
                <c:pt idx="2">
                  <c:v>ROCK</c:v>
                </c:pt>
              </c:strCache>
            </c:strRef>
          </c:cat>
          <c:val>
            <c:numRef>
              <c:f>'USER ENGAGEMENT BY MUSIC GENRE'!$B$4:$B$7</c:f>
              <c:numCache>
                <c:formatCode>General</c:formatCode>
                <c:ptCount val="3"/>
                <c:pt idx="0">
                  <c:v>58</c:v>
                </c:pt>
                <c:pt idx="1">
                  <c:v>58</c:v>
                </c:pt>
                <c:pt idx="2">
                  <c:v>57</c:v>
                </c:pt>
              </c:numCache>
            </c:numRef>
          </c:val>
          <c:extLst>
            <c:ext xmlns:c16="http://schemas.microsoft.com/office/drawing/2014/chart" uri="{C3380CC4-5D6E-409C-BE32-E72D297353CC}">
              <c16:uniqueId val="{00000000-315E-4368-955E-C710B9C7CCF9}"/>
            </c:ext>
          </c:extLst>
        </c:ser>
        <c:dLbls>
          <c:dLblPos val="outEnd"/>
          <c:showLegendKey val="0"/>
          <c:showVal val="1"/>
          <c:showCatName val="0"/>
          <c:showSerName val="0"/>
          <c:showPercent val="0"/>
          <c:showBubbleSize val="0"/>
        </c:dLbls>
        <c:gapWidth val="444"/>
        <c:overlap val="-90"/>
        <c:axId val="1000149743"/>
        <c:axId val="1000145423"/>
      </c:barChart>
      <c:catAx>
        <c:axId val="100014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00145423"/>
        <c:crosses val="autoZero"/>
        <c:auto val="1"/>
        <c:lblAlgn val="ctr"/>
        <c:lblOffset val="100"/>
        <c:noMultiLvlLbl val="0"/>
      </c:catAx>
      <c:valAx>
        <c:axId val="1000145423"/>
        <c:scaling>
          <c:orientation val="minMax"/>
          <c:min val="0"/>
        </c:scaling>
        <c:delete val="1"/>
        <c:axPos val="l"/>
        <c:numFmt formatCode="General" sourceLinked="1"/>
        <c:majorTickMark val="none"/>
        <c:minorTickMark val="none"/>
        <c:tickLblPos val="nextTo"/>
        <c:crossAx val="10001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[MUSIC STREAMING  ENGAGEMENT ANALYSIS.xlsx]ENGAGEMEN BY SUBSCRIPTION TYPE !PivotTable2</c:name>
    <c:fmtId val="17"/>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Streaming</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shade val="76000"/>
                  <a:lumMod val="60000"/>
                  <a:lumOff val="40000"/>
                </a:schemeClr>
              </a:gs>
              <a:gs pos="0">
                <a:schemeClr val="accent1">
                  <a:shade val="76000"/>
                </a:schemeClr>
              </a:gs>
            </a:gsLst>
            <a:lin ang="5400000" scaled="0"/>
          </a:gradFill>
          <a:ln w="19050">
            <a:solidFill>
              <a:schemeClr val="lt1"/>
            </a:solidFill>
          </a:ln>
          <a:effectLst/>
        </c:spPr>
      </c:pivotFmt>
      <c:pivotFmt>
        <c:idx val="2"/>
        <c:spPr>
          <a:gradFill>
            <a:gsLst>
              <a:gs pos="100000">
                <a:schemeClr val="accent1">
                  <a:tint val="77000"/>
                  <a:lumMod val="60000"/>
                  <a:lumOff val="40000"/>
                </a:schemeClr>
              </a:gs>
              <a:gs pos="0">
                <a:schemeClr val="accent1">
                  <a:tint val="77000"/>
                </a:schemeClr>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a:gsLst>
              <a:gs pos="100000">
                <a:schemeClr val="accent1">
                  <a:shade val="76000"/>
                  <a:lumMod val="60000"/>
                  <a:lumOff val="40000"/>
                </a:schemeClr>
              </a:gs>
              <a:gs pos="0">
                <a:schemeClr val="accent1">
                  <a:shade val="76000"/>
                </a:schemeClr>
              </a:gs>
            </a:gsLst>
            <a:lin ang="5400000" scaled="0"/>
          </a:gradFill>
          <a:ln w="19050">
            <a:solidFill>
              <a:schemeClr val="lt1"/>
            </a:solidFill>
          </a:ln>
          <a:effectLst/>
        </c:spPr>
      </c:pivotFmt>
      <c:pivotFmt>
        <c:idx val="5"/>
        <c:spPr>
          <a:gradFill>
            <a:gsLst>
              <a:gs pos="100000">
                <a:schemeClr val="accent1">
                  <a:tint val="77000"/>
                  <a:lumMod val="60000"/>
                  <a:lumOff val="40000"/>
                </a:schemeClr>
              </a:gs>
              <a:gs pos="0">
                <a:schemeClr val="accent1">
                  <a:tint val="77000"/>
                </a:schemeClr>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1">
                  <a:shade val="76000"/>
                  <a:lumMod val="60000"/>
                  <a:lumOff val="40000"/>
                </a:schemeClr>
              </a:gs>
              <a:gs pos="0">
                <a:schemeClr val="accent1">
                  <a:shade val="76000"/>
                </a:schemeClr>
              </a:gs>
            </a:gsLst>
            <a:lin ang="5400000" scaled="0"/>
          </a:gradFill>
          <a:ln w="19050">
            <a:solidFill>
              <a:schemeClr val="lt1"/>
            </a:solidFill>
          </a:ln>
          <a:effectLst/>
        </c:spPr>
      </c:pivotFmt>
      <c:pivotFmt>
        <c:idx val="8"/>
        <c:spPr>
          <a:gradFill>
            <a:gsLst>
              <a:gs pos="100000">
                <a:schemeClr val="accent1">
                  <a:tint val="77000"/>
                  <a:lumMod val="60000"/>
                  <a:lumOff val="40000"/>
                </a:schemeClr>
              </a:gs>
              <a:gs pos="0">
                <a:schemeClr val="accent1">
                  <a:tint val="77000"/>
                </a:schemeClr>
              </a:gs>
            </a:gsLst>
            <a:lin ang="5400000" scaled="0"/>
          </a:gradFill>
          <a:ln w="19050">
            <a:solidFill>
              <a:schemeClr val="lt1"/>
            </a:solidFill>
          </a:ln>
          <a:effectLst/>
        </c:spPr>
      </c:pivotFmt>
    </c:pivotFmts>
    <c:plotArea>
      <c:layout>
        <c:manualLayout>
          <c:layoutTarget val="inner"/>
          <c:xMode val="edge"/>
          <c:yMode val="edge"/>
          <c:x val="0.26527202713234754"/>
          <c:y val="0.20874405702598969"/>
          <c:w val="0.41476878221835967"/>
          <c:h val="0.62747056733821172"/>
        </c:manualLayout>
      </c:layout>
      <c:doughnutChart>
        <c:varyColors val="1"/>
        <c:ser>
          <c:idx val="0"/>
          <c:order val="0"/>
          <c:tx>
            <c:strRef>
              <c:f>'ENGAGEMEN BY SUBSCRIPTION TYPE '!$B$3</c:f>
              <c:strCache>
                <c:ptCount val="1"/>
                <c:pt idx="0">
                  <c:v>Total</c:v>
                </c:pt>
              </c:strCache>
            </c:strRef>
          </c:tx>
          <c:dPt>
            <c:idx val="0"/>
            <c:bubble3D val="0"/>
            <c:spPr>
              <a:gradFill>
                <a:gsLst>
                  <a:gs pos="100000">
                    <a:schemeClr val="accent1">
                      <a:shade val="76000"/>
                      <a:lumMod val="60000"/>
                      <a:lumOff val="40000"/>
                    </a:schemeClr>
                  </a:gs>
                  <a:gs pos="0">
                    <a:schemeClr val="accent1">
                      <a:shade val="76000"/>
                    </a:schemeClr>
                  </a:gs>
                </a:gsLst>
                <a:lin ang="5400000" scaled="0"/>
              </a:gradFill>
              <a:ln w="19050">
                <a:solidFill>
                  <a:schemeClr val="lt1"/>
                </a:solidFill>
              </a:ln>
              <a:effectLst/>
            </c:spPr>
            <c:extLst>
              <c:ext xmlns:c16="http://schemas.microsoft.com/office/drawing/2014/chart" uri="{C3380CC4-5D6E-409C-BE32-E72D297353CC}">
                <c16:uniqueId val="{00000001-F85A-4CBA-B87C-A704A1192409}"/>
              </c:ext>
            </c:extLst>
          </c:dPt>
          <c:dPt>
            <c:idx val="1"/>
            <c:bubble3D val="0"/>
            <c:spPr>
              <a:gradFill>
                <a:gsLst>
                  <a:gs pos="100000">
                    <a:schemeClr val="accent1">
                      <a:tint val="77000"/>
                      <a:lumMod val="60000"/>
                      <a:lumOff val="40000"/>
                    </a:schemeClr>
                  </a:gs>
                  <a:gs pos="0">
                    <a:schemeClr val="accent1">
                      <a:tint val="77000"/>
                    </a:schemeClr>
                  </a:gs>
                </a:gsLst>
                <a:lin ang="5400000" scaled="0"/>
              </a:gradFill>
              <a:ln w="19050">
                <a:solidFill>
                  <a:schemeClr val="lt1"/>
                </a:solidFill>
              </a:ln>
              <a:effectLst/>
            </c:spPr>
            <c:extLst>
              <c:ext xmlns:c16="http://schemas.microsoft.com/office/drawing/2014/chart" uri="{C3380CC4-5D6E-409C-BE32-E72D297353CC}">
                <c16:uniqueId val="{00000003-F85A-4CBA-B87C-A704A11924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'ENGAGEMEN BY SUBSCRIPTION TYPE '!$A$4:$A$6</c:f>
              <c:strCache>
                <c:ptCount val="2"/>
                <c:pt idx="0">
                  <c:v>FREE</c:v>
                </c:pt>
                <c:pt idx="1">
                  <c:v>PAID</c:v>
                </c:pt>
              </c:strCache>
            </c:strRef>
          </c:cat>
          <c:val>
            <c:numRef>
              <c:f>'ENGAGEMEN BY SUBSCRIPTION TYPE '!$B$4:$B$6</c:f>
              <c:numCache>
                <c:formatCode>General</c:formatCode>
                <c:ptCount val="2"/>
                <c:pt idx="0">
                  <c:v>58</c:v>
                </c:pt>
                <c:pt idx="1">
                  <c:v>57</c:v>
                </c:pt>
              </c:numCache>
            </c:numRef>
          </c:val>
          <c:extLst>
            <c:ext xmlns:c16="http://schemas.microsoft.com/office/drawing/2014/chart" uri="{C3380CC4-5D6E-409C-BE32-E72D297353CC}">
              <c16:uniqueId val="{00000004-F85A-4CBA-B87C-A704A1192409}"/>
            </c:ext>
          </c:extLst>
        </c:ser>
        <c:dLbls>
          <c:showLegendKey val="0"/>
          <c:showVal val="0"/>
          <c:showCatName val="1"/>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582284</xdr:colOff>
      <xdr:row>5</xdr:row>
      <xdr:rowOff>9325</xdr:rowOff>
    </xdr:from>
    <xdr:to>
      <xdr:col>6</xdr:col>
      <xdr:colOff>370703</xdr:colOff>
      <xdr:row>16</xdr:row>
      <xdr:rowOff>906161</xdr:rowOff>
    </xdr:to>
    <xdr:graphicFrame macro="">
      <xdr:nvGraphicFramePr>
        <xdr:cNvPr id="2" name="Chart 1">
          <a:extLst>
            <a:ext uri="{FF2B5EF4-FFF2-40B4-BE49-F238E27FC236}">
              <a16:creationId xmlns:a16="http://schemas.microsoft.com/office/drawing/2014/main" id="{2809BF9F-64C8-420D-A7B2-5A4841F4E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7769</xdr:colOff>
      <xdr:row>5</xdr:row>
      <xdr:rowOff>9717</xdr:rowOff>
    </xdr:from>
    <xdr:to>
      <xdr:col>12</xdr:col>
      <xdr:colOff>700216</xdr:colOff>
      <xdr:row>16</xdr:row>
      <xdr:rowOff>854676</xdr:rowOff>
    </xdr:to>
    <xdr:graphicFrame macro="">
      <xdr:nvGraphicFramePr>
        <xdr:cNvPr id="3" name="Chart 2">
          <a:extLst>
            <a:ext uri="{FF2B5EF4-FFF2-40B4-BE49-F238E27FC236}">
              <a16:creationId xmlns:a16="http://schemas.microsoft.com/office/drawing/2014/main" id="{F4212EE9-2FBA-4D33-97C4-7F122D396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31339</xdr:colOff>
      <xdr:row>2</xdr:row>
      <xdr:rowOff>151933</xdr:rowOff>
    </xdr:from>
    <xdr:to>
      <xdr:col>16</xdr:col>
      <xdr:colOff>401595</xdr:colOff>
      <xdr:row>10</xdr:row>
      <xdr:rowOff>164757</xdr:rowOff>
    </xdr:to>
    <mc:AlternateContent xmlns:mc="http://schemas.openxmlformats.org/markup-compatibility/2006">
      <mc:Choice xmlns:a14="http://schemas.microsoft.com/office/drawing/2010/main" Requires="a14">
        <xdr:graphicFrame macro="">
          <xdr:nvGraphicFramePr>
            <xdr:cNvPr id="4" name="SUBSCRIPTION-TYPE">
              <a:extLst>
                <a:ext uri="{FF2B5EF4-FFF2-40B4-BE49-F238E27FC236}">
                  <a16:creationId xmlns:a16="http://schemas.microsoft.com/office/drawing/2014/main" id="{3E632E61-FF27-1627-6AC4-85F569CB2B2F}"/>
                </a:ext>
              </a:extLst>
            </xdr:cNvPr>
            <xdr:cNvGraphicFramePr/>
          </xdr:nvGraphicFramePr>
          <xdr:xfrm>
            <a:off x="0" y="0"/>
            <a:ext cx="0" cy="0"/>
          </xdr:xfrm>
          <a:graphic>
            <a:graphicData uri="http://schemas.microsoft.com/office/drawing/2010/slicer">
              <sle:slicer xmlns:sle="http://schemas.microsoft.com/office/drawing/2010/slicer" name="SUBSCRIPTION-TYPE"/>
            </a:graphicData>
          </a:graphic>
        </xdr:graphicFrame>
      </mc:Choice>
      <mc:Fallback>
        <xdr:sp macro="" textlink="">
          <xdr:nvSpPr>
            <xdr:cNvPr id="0" name=""/>
            <xdr:cNvSpPr>
              <a:spLocks noTextEdit="1"/>
            </xdr:cNvSpPr>
          </xdr:nvSpPr>
          <xdr:spPr>
            <a:xfrm>
              <a:off x="8376468" y="1172030"/>
              <a:ext cx="2213804" cy="169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41189</xdr:colOff>
      <xdr:row>12</xdr:row>
      <xdr:rowOff>51486</xdr:rowOff>
    </xdr:from>
    <xdr:to>
      <xdr:col>16</xdr:col>
      <xdr:colOff>360406</xdr:colOff>
      <xdr:row>16</xdr:row>
      <xdr:rowOff>895476</xdr:rowOff>
    </xdr:to>
    <mc:AlternateContent xmlns:mc="http://schemas.openxmlformats.org/markup-compatibility/2006">
      <mc:Choice xmlns:a14="http://schemas.microsoft.com/office/drawing/2010/main" Requires="a14">
        <xdr:graphicFrame macro="">
          <xdr:nvGraphicFramePr>
            <xdr:cNvPr id="5" name="FAVORITE-GENRE">
              <a:extLst>
                <a:ext uri="{FF2B5EF4-FFF2-40B4-BE49-F238E27FC236}">
                  <a16:creationId xmlns:a16="http://schemas.microsoft.com/office/drawing/2014/main" id="{F31236F0-9805-1783-094D-90DCAF505556}"/>
                </a:ext>
              </a:extLst>
            </xdr:cNvPr>
            <xdr:cNvGraphicFramePr/>
          </xdr:nvGraphicFramePr>
          <xdr:xfrm>
            <a:off x="0" y="0"/>
            <a:ext cx="0" cy="0"/>
          </xdr:xfrm>
          <a:graphic>
            <a:graphicData uri="http://schemas.microsoft.com/office/drawing/2010/slicer">
              <sle:slicer xmlns:sle="http://schemas.microsoft.com/office/drawing/2010/slicer" name="FAVORITE-GENRE"/>
            </a:graphicData>
          </a:graphic>
        </xdr:graphicFrame>
      </mc:Choice>
      <mc:Fallback>
        <xdr:sp macro="" textlink="">
          <xdr:nvSpPr>
            <xdr:cNvPr id="0" name=""/>
            <xdr:cNvSpPr>
              <a:spLocks noTextEdit="1"/>
            </xdr:cNvSpPr>
          </xdr:nvSpPr>
          <xdr:spPr>
            <a:xfrm>
              <a:off x="8386318" y="3124067"/>
              <a:ext cx="2162765" cy="1581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YADAV" refreshedDate="46167.676638310186" createdVersion="8" refreshedVersion="8" minRefreshableVersion="3" recordCount="15" xr:uid="{553258D1-0EC5-4E39-A6DB-EB2FF8C12D8B}">
  <cacheSource type="worksheet">
    <worksheetSource ref="A1:E16" sheet="DATA"/>
  </cacheSource>
  <cacheFields count="5">
    <cacheField name="USER-ID" numFmtId="0">
      <sharedItems containsSemiMixedTypes="0" containsString="0" containsNumber="1" containsInteger="1" minValue="1" maxValue="15"/>
    </cacheField>
    <cacheField name="AGE" numFmtId="0">
      <sharedItems containsSemiMixedTypes="0" containsString="0" containsNumber="1" containsInteger="1" minValue="22" maxValue="64"/>
    </cacheField>
    <cacheField name="SUBSCRIPTION-TYPE" numFmtId="0">
      <sharedItems count="2">
        <s v="FREE"/>
        <s v="PAID"/>
      </sharedItems>
    </cacheField>
    <cacheField name="HOURS-STREAMED-PER MONTH" numFmtId="0">
      <sharedItems containsSemiMixedTypes="0" containsString="0" containsNumber="1" containsInteger="1" minValue="4" maxValue="100"/>
    </cacheField>
    <cacheField name="FAVORITE-GENRE" numFmtId="0">
      <sharedItems count="3">
        <s v="POP"/>
        <s v="ROCK"/>
        <s v="HIPHOP"/>
      </sharedItems>
    </cacheField>
  </cacheFields>
  <extLst>
    <ext xmlns:x14="http://schemas.microsoft.com/office/spreadsheetml/2009/9/main" uri="{725AE2AE-9491-48be-B2B4-4EB974FC3084}">
      <x14:pivotCacheDefinition pivotCacheId="2134485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n v="22"/>
    <x v="0"/>
    <n v="95"/>
    <x v="0"/>
  </r>
  <r>
    <n v="2"/>
    <n v="25"/>
    <x v="1"/>
    <n v="56"/>
    <x v="1"/>
  </r>
  <r>
    <n v="3"/>
    <n v="28"/>
    <x v="0"/>
    <n v="32"/>
    <x v="2"/>
  </r>
  <r>
    <n v="4"/>
    <n v="31"/>
    <x v="0"/>
    <n v="22"/>
    <x v="0"/>
  </r>
  <r>
    <n v="5"/>
    <n v="34"/>
    <x v="1"/>
    <n v="30"/>
    <x v="1"/>
  </r>
  <r>
    <n v="6"/>
    <n v="37"/>
    <x v="0"/>
    <n v="72"/>
    <x v="2"/>
  </r>
  <r>
    <n v="7"/>
    <n v="40"/>
    <x v="0"/>
    <n v="69"/>
    <x v="0"/>
  </r>
  <r>
    <n v="8"/>
    <n v="43"/>
    <x v="1"/>
    <n v="91"/>
    <x v="1"/>
  </r>
  <r>
    <n v="9"/>
    <n v="46"/>
    <x v="0"/>
    <n v="82"/>
    <x v="2"/>
  </r>
  <r>
    <n v="10"/>
    <n v="49"/>
    <x v="0"/>
    <n v="75"/>
    <x v="0"/>
  </r>
  <r>
    <n v="11"/>
    <n v="52"/>
    <x v="1"/>
    <n v="70"/>
    <x v="1"/>
  </r>
  <r>
    <n v="12"/>
    <n v="55"/>
    <x v="0"/>
    <n v="4"/>
    <x v="2"/>
  </r>
  <r>
    <n v="13"/>
    <n v="58"/>
    <x v="0"/>
    <n v="29"/>
    <x v="0"/>
  </r>
  <r>
    <n v="14"/>
    <n v="61"/>
    <x v="1"/>
    <n v="38"/>
    <x v="1"/>
  </r>
  <r>
    <n v="15"/>
    <n v="64"/>
    <x v="0"/>
    <n v="1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84664-3BC2-457B-B167-A8B64B8FFB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5">
    <pivotField showAll="0"/>
    <pivotField showAll="0"/>
    <pivotField showAll="0"/>
    <pivotField dataField="1" showAll="0"/>
    <pivotField axis="axisRow" showAll="0">
      <items count="4">
        <item x="2"/>
        <item x="0"/>
        <item x="1"/>
        <item t="default"/>
      </items>
    </pivotField>
  </pivotFields>
  <rowFields count="1">
    <field x="4"/>
  </rowFields>
  <rowItems count="4">
    <i>
      <x/>
    </i>
    <i>
      <x v="1"/>
    </i>
    <i>
      <x v="2"/>
    </i>
    <i t="grand">
      <x/>
    </i>
  </rowItems>
  <colItems count="1">
    <i/>
  </colItems>
  <dataFields count="1">
    <dataField name="Average of HOURS-STREAMED-PER MONTH" fld="3" subtotal="average" baseField="4" baseItem="0"/>
  </dataFields>
  <formats count="1">
    <format dxfId="0">
      <pivotArea field="4" grandRow="1" outline="0" collapsedLevelsAreSubtotals="1" axis="axisRow" fieldPosition="0">
        <references count="1">
          <reference field="4294967294" count="1" selected="0">
            <x v="0"/>
          </reference>
        </references>
      </pivotArea>
    </format>
  </format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4C633-31A5-43A9-BADE-83B8F3C87C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5">
    <pivotField showAll="0"/>
    <pivotField showAll="0"/>
    <pivotField axis="axisRow" showAll="0">
      <items count="3">
        <item x="0"/>
        <item x="1"/>
        <item t="default"/>
      </items>
    </pivotField>
    <pivotField dataField="1" showAll="0"/>
    <pivotField showAll="0"/>
  </pivotFields>
  <rowFields count="1">
    <field x="2"/>
  </rowFields>
  <rowItems count="3">
    <i>
      <x/>
    </i>
    <i>
      <x v="1"/>
    </i>
    <i t="grand">
      <x/>
    </i>
  </rowItems>
  <colItems count="1">
    <i/>
  </colItems>
  <dataFields count="1">
    <dataField name="Average of HOURS-STREAMED-PER MONTH" fld="3" subtotal="average" baseField="2" baseItem="0"/>
  </dataFields>
  <formats count="1">
    <format dxfId="1">
      <pivotArea grandRow="1" outline="0" collapsedLevelsAreSubtotals="1" fieldPosition="0"/>
    </format>
  </formats>
  <chartFormats count="3">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F603BE3D-7A1E-43C8-96B7-FC8D4FED57D8}" sourceName="SUBSCRIPTION-TYPE">
  <pivotTables>
    <pivotTable tabId="3" name="PivotTable2"/>
  </pivotTables>
  <data>
    <tabular pivotCacheId="21344852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6151456C-6F55-4E23-9993-F8BB63BBE71B}" sourceName="FAVORITE-GENRE">
  <pivotTables>
    <pivotTable tabId="2" name="PivotTable1"/>
  </pivotTables>
  <data>
    <tabular pivotCacheId="213448528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TYPE" xr10:uid="{D0970C71-9EE3-40F1-B2FC-163930F60292}" cache="Slicer_SUBSCRIPTION_TYPE" caption="SUBSCRIPTION-TYPE" rowHeight="234950"/>
  <slicer name="FAVORITE-GENRE" xr10:uid="{57276BC6-E64D-4C11-AF52-DAD25445B530}" cache="Slicer_FAVORITE_GENRE" caption="FAVORITE-GENR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6D8C-BAD8-4115-9FDE-988495146186}">
  <dimension ref="A1:E17"/>
  <sheetViews>
    <sheetView workbookViewId="0">
      <selection activeCell="B19" sqref="B19"/>
    </sheetView>
  </sheetViews>
  <sheetFormatPr defaultRowHeight="14.4" x14ac:dyDescent="0.3"/>
  <cols>
    <col min="1" max="1" width="18.88671875" customWidth="1"/>
    <col min="2" max="2" width="17.6640625" customWidth="1"/>
    <col min="3" max="3" width="31.5546875" customWidth="1"/>
    <col min="4" max="4" width="44.88671875" customWidth="1"/>
    <col min="5" max="5" width="26.5546875" customWidth="1"/>
  </cols>
  <sheetData>
    <row r="1" spans="1:5" ht="17.399999999999999" x14ac:dyDescent="0.3">
      <c r="A1" s="1" t="s">
        <v>0</v>
      </c>
      <c r="B1" s="1" t="s">
        <v>1</v>
      </c>
      <c r="C1" s="1" t="s">
        <v>9</v>
      </c>
      <c r="D1" s="2" t="s">
        <v>3</v>
      </c>
      <c r="E1" s="1" t="s">
        <v>2</v>
      </c>
    </row>
    <row r="2" spans="1:5" x14ac:dyDescent="0.3">
      <c r="A2" s="3">
        <v>1</v>
      </c>
      <c r="B2" s="3">
        <v>22</v>
      </c>
      <c r="C2" s="3" t="s">
        <v>4</v>
      </c>
      <c r="D2" s="4">
        <v>95</v>
      </c>
      <c r="E2" s="4" t="s">
        <v>5</v>
      </c>
    </row>
    <row r="3" spans="1:5" x14ac:dyDescent="0.3">
      <c r="A3" s="3">
        <v>2</v>
      </c>
      <c r="B3" s="3">
        <v>25</v>
      </c>
      <c r="C3" s="3" t="s">
        <v>8</v>
      </c>
      <c r="D3" s="4">
        <v>56</v>
      </c>
      <c r="E3" s="4" t="s">
        <v>6</v>
      </c>
    </row>
    <row r="4" spans="1:5" x14ac:dyDescent="0.3">
      <c r="A4" s="3">
        <v>3</v>
      </c>
      <c r="B4" s="3">
        <v>28</v>
      </c>
      <c r="C4" s="3" t="s">
        <v>4</v>
      </c>
      <c r="D4" s="4">
        <v>32</v>
      </c>
      <c r="E4" s="4" t="s">
        <v>7</v>
      </c>
    </row>
    <row r="5" spans="1:5" x14ac:dyDescent="0.3">
      <c r="A5" s="3">
        <v>4</v>
      </c>
      <c r="B5" s="3">
        <v>31</v>
      </c>
      <c r="C5" s="3" t="s">
        <v>4</v>
      </c>
      <c r="D5" s="4">
        <v>22</v>
      </c>
      <c r="E5" s="4" t="s">
        <v>5</v>
      </c>
    </row>
    <row r="6" spans="1:5" x14ac:dyDescent="0.3">
      <c r="A6" s="3">
        <v>5</v>
      </c>
      <c r="B6" s="3">
        <v>34</v>
      </c>
      <c r="C6" s="3" t="s">
        <v>8</v>
      </c>
      <c r="D6" s="4">
        <v>30</v>
      </c>
      <c r="E6" s="4" t="s">
        <v>6</v>
      </c>
    </row>
    <row r="7" spans="1:5" x14ac:dyDescent="0.3">
      <c r="A7" s="3">
        <v>6</v>
      </c>
      <c r="B7" s="3">
        <v>37</v>
      </c>
      <c r="C7" s="3" t="s">
        <v>4</v>
      </c>
      <c r="D7" s="4">
        <v>72</v>
      </c>
      <c r="E7" s="4" t="s">
        <v>7</v>
      </c>
    </row>
    <row r="8" spans="1:5" x14ac:dyDescent="0.3">
      <c r="A8" s="3">
        <v>7</v>
      </c>
      <c r="B8" s="3">
        <v>40</v>
      </c>
      <c r="C8" s="3" t="s">
        <v>4</v>
      </c>
      <c r="D8" s="4">
        <v>69</v>
      </c>
      <c r="E8" s="4" t="s">
        <v>5</v>
      </c>
    </row>
    <row r="9" spans="1:5" x14ac:dyDescent="0.3">
      <c r="A9" s="3">
        <v>8</v>
      </c>
      <c r="B9" s="3">
        <v>43</v>
      </c>
      <c r="C9" s="3" t="s">
        <v>8</v>
      </c>
      <c r="D9" s="4">
        <v>91</v>
      </c>
      <c r="E9" s="4" t="s">
        <v>6</v>
      </c>
    </row>
    <row r="10" spans="1:5" x14ac:dyDescent="0.3">
      <c r="A10" s="3">
        <v>9</v>
      </c>
      <c r="B10" s="3">
        <v>46</v>
      </c>
      <c r="C10" s="3" t="s">
        <v>4</v>
      </c>
      <c r="D10" s="4">
        <v>82</v>
      </c>
      <c r="E10" s="4" t="s">
        <v>7</v>
      </c>
    </row>
    <row r="11" spans="1:5" x14ac:dyDescent="0.3">
      <c r="A11" s="3">
        <v>10</v>
      </c>
      <c r="B11" s="3">
        <v>49</v>
      </c>
      <c r="C11" s="3" t="s">
        <v>4</v>
      </c>
      <c r="D11" s="4">
        <v>75</v>
      </c>
      <c r="E11" s="4" t="s">
        <v>5</v>
      </c>
    </row>
    <row r="12" spans="1:5" x14ac:dyDescent="0.3">
      <c r="A12" s="3">
        <v>11</v>
      </c>
      <c r="B12" s="3">
        <v>52</v>
      </c>
      <c r="C12" s="3" t="s">
        <v>8</v>
      </c>
      <c r="D12" s="4">
        <v>70</v>
      </c>
      <c r="E12" s="4" t="s">
        <v>6</v>
      </c>
    </row>
    <row r="13" spans="1:5" x14ac:dyDescent="0.3">
      <c r="A13" s="3">
        <v>12</v>
      </c>
      <c r="B13" s="3">
        <v>55</v>
      </c>
      <c r="C13" s="3" t="s">
        <v>4</v>
      </c>
      <c r="D13" s="4">
        <v>4</v>
      </c>
      <c r="E13" s="4" t="s">
        <v>7</v>
      </c>
    </row>
    <row r="14" spans="1:5" x14ac:dyDescent="0.3">
      <c r="A14" s="3">
        <v>13</v>
      </c>
      <c r="B14" s="3">
        <v>58</v>
      </c>
      <c r="C14" s="3" t="s">
        <v>4</v>
      </c>
      <c r="D14" s="4">
        <v>29</v>
      </c>
      <c r="E14" s="4" t="s">
        <v>5</v>
      </c>
    </row>
    <row r="15" spans="1:5" x14ac:dyDescent="0.3">
      <c r="A15" s="3">
        <v>14</v>
      </c>
      <c r="B15" s="3">
        <v>61</v>
      </c>
      <c r="C15" s="3" t="s">
        <v>8</v>
      </c>
      <c r="D15" s="4">
        <v>38</v>
      </c>
      <c r="E15" s="4" t="s">
        <v>6</v>
      </c>
    </row>
    <row r="16" spans="1:5" x14ac:dyDescent="0.3">
      <c r="A16" s="3">
        <v>15</v>
      </c>
      <c r="B16" s="3">
        <v>64</v>
      </c>
      <c r="C16" s="3" t="s">
        <v>4</v>
      </c>
      <c r="D16" s="4">
        <v>100</v>
      </c>
      <c r="E16" s="4" t="s">
        <v>7</v>
      </c>
    </row>
    <row r="17" spans="1:5" x14ac:dyDescent="0.3">
      <c r="A17" s="5"/>
      <c r="B17" s="5"/>
      <c r="C17" s="6"/>
      <c r="D17" s="7"/>
      <c r="E17"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C30D-2C93-42EE-AD4C-155F1B5D0E6D}">
  <dimension ref="A3:B7"/>
  <sheetViews>
    <sheetView workbookViewId="0">
      <selection activeCell="D21" sqref="D21"/>
    </sheetView>
  </sheetViews>
  <sheetFormatPr defaultRowHeight="14.4" x14ac:dyDescent="0.3"/>
  <cols>
    <col min="1" max="1" width="12.5546875" bestFit="1" customWidth="1"/>
    <col min="2" max="3" width="38.33203125" bestFit="1" customWidth="1"/>
    <col min="4" max="14" width="15.5546875" bestFit="1" customWidth="1"/>
    <col min="15" max="15" width="10.77734375" bestFit="1" customWidth="1"/>
  </cols>
  <sheetData>
    <row r="3" spans="1:2" x14ac:dyDescent="0.3">
      <c r="A3" s="8" t="s">
        <v>11</v>
      </c>
      <c r="B3" t="s">
        <v>12</v>
      </c>
    </row>
    <row r="4" spans="1:2" x14ac:dyDescent="0.3">
      <c r="A4" s="9" t="s">
        <v>7</v>
      </c>
      <c r="B4" s="31">
        <v>58</v>
      </c>
    </row>
    <row r="5" spans="1:2" x14ac:dyDescent="0.3">
      <c r="A5" s="9" t="s">
        <v>5</v>
      </c>
      <c r="B5" s="31">
        <v>58</v>
      </c>
    </row>
    <row r="6" spans="1:2" x14ac:dyDescent="0.3">
      <c r="A6" s="9" t="s">
        <v>6</v>
      </c>
      <c r="B6" s="31">
        <v>57</v>
      </c>
    </row>
    <row r="7" spans="1:2" x14ac:dyDescent="0.3">
      <c r="A7" s="9" t="s">
        <v>10</v>
      </c>
      <c r="B7" s="10">
        <v>57.666666666666664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0D58-DC5A-43B5-BC65-8ED14472D087}">
  <dimension ref="A3:B6"/>
  <sheetViews>
    <sheetView workbookViewId="0">
      <selection activeCell="B11" sqref="B11"/>
    </sheetView>
  </sheetViews>
  <sheetFormatPr defaultRowHeight="14.4" x14ac:dyDescent="0.3"/>
  <cols>
    <col min="1" max="1" width="12.5546875" bestFit="1" customWidth="1"/>
    <col min="2" max="2" width="38.33203125" bestFit="1" customWidth="1"/>
  </cols>
  <sheetData>
    <row r="3" spans="1:2" x14ac:dyDescent="0.3">
      <c r="A3" s="8" t="s">
        <v>11</v>
      </c>
      <c r="B3" t="s">
        <v>12</v>
      </c>
    </row>
    <row r="4" spans="1:2" x14ac:dyDescent="0.3">
      <c r="A4" s="9" t="s">
        <v>4</v>
      </c>
      <c r="B4" s="31">
        <v>58</v>
      </c>
    </row>
    <row r="5" spans="1:2" x14ac:dyDescent="0.3">
      <c r="A5" s="9" t="s">
        <v>8</v>
      </c>
      <c r="B5" s="31">
        <v>57</v>
      </c>
    </row>
    <row r="6" spans="1:2" x14ac:dyDescent="0.3">
      <c r="A6" s="9" t="s">
        <v>10</v>
      </c>
      <c r="B6" s="10">
        <v>57.666666666666664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FF85-93AA-4B17-9826-37F2F61230E0}">
  <dimension ref="B1:M31"/>
  <sheetViews>
    <sheetView tabSelected="1" zoomScale="62" zoomScaleNormal="106" workbookViewId="0">
      <selection activeCell="V26" sqref="V26"/>
    </sheetView>
  </sheetViews>
  <sheetFormatPr defaultRowHeight="14.4" x14ac:dyDescent="0.3"/>
  <cols>
    <col min="13" max="13" width="14.21875" customWidth="1"/>
  </cols>
  <sheetData>
    <row r="1" spans="2:13" ht="66" customHeight="1" x14ac:dyDescent="0.3">
      <c r="B1" s="38" t="s">
        <v>20</v>
      </c>
      <c r="C1" s="38"/>
      <c r="D1" s="38"/>
      <c r="E1" s="38"/>
      <c r="F1" s="38"/>
      <c r="G1" s="38"/>
      <c r="H1" s="38"/>
      <c r="I1" s="38"/>
      <c r="J1" s="38"/>
      <c r="K1" s="38"/>
      <c r="L1" s="38"/>
      <c r="M1" s="38"/>
    </row>
    <row r="2" spans="2:13" x14ac:dyDescent="0.3">
      <c r="B2" s="15" t="s">
        <v>13</v>
      </c>
      <c r="C2" s="16"/>
      <c r="D2" s="17"/>
      <c r="F2" s="15" t="s">
        <v>14</v>
      </c>
      <c r="G2" s="16"/>
      <c r="H2" s="17"/>
      <c r="J2" s="15" t="s">
        <v>15</v>
      </c>
      <c r="K2" s="24"/>
      <c r="L2" s="24"/>
      <c r="M2" s="25"/>
    </row>
    <row r="3" spans="2:13" x14ac:dyDescent="0.3">
      <c r="B3" s="18"/>
      <c r="C3" s="19"/>
      <c r="D3" s="20"/>
      <c r="F3" s="18"/>
      <c r="G3" s="19"/>
      <c r="H3" s="20"/>
      <c r="J3" s="26"/>
      <c r="K3" s="27"/>
      <c r="L3" s="27"/>
      <c r="M3" s="28"/>
    </row>
    <row r="4" spans="2:13" ht="31.2" x14ac:dyDescent="0.6">
      <c r="B4" s="21">
        <f>COUNT(DATA!A2:A16)</f>
        <v>15</v>
      </c>
      <c r="C4" s="22"/>
      <c r="D4" s="23"/>
      <c r="F4" s="12">
        <f>AVERAGE(DATA!D2:D16)</f>
        <v>57.666666666666664</v>
      </c>
      <c r="G4" s="13"/>
      <c r="H4" s="14"/>
      <c r="J4" s="11" t="s">
        <v>16</v>
      </c>
      <c r="K4" s="29"/>
      <c r="L4" s="29"/>
      <c r="M4" s="30"/>
    </row>
    <row r="17" spans="2:11" ht="71.400000000000006" customHeight="1" x14ac:dyDescent="0.3"/>
    <row r="19" spans="2:11" x14ac:dyDescent="0.3">
      <c r="B19" s="32" t="s">
        <v>17</v>
      </c>
      <c r="C19" s="32"/>
      <c r="D19" s="32"/>
    </row>
    <row r="20" spans="2:11" x14ac:dyDescent="0.3">
      <c r="B20" s="32"/>
      <c r="C20" s="32"/>
      <c r="D20" s="32"/>
    </row>
    <row r="22" spans="2:11" ht="23.4" x14ac:dyDescent="0.45">
      <c r="B22" s="33" t="s">
        <v>19</v>
      </c>
      <c r="C22" s="34"/>
      <c r="D22" s="34"/>
      <c r="E22" s="34"/>
      <c r="F22" s="34"/>
      <c r="G22" s="34"/>
      <c r="H22" s="34"/>
      <c r="I22" s="35"/>
      <c r="J22" s="35"/>
      <c r="K22" s="36"/>
    </row>
    <row r="23" spans="2:11" ht="23.4" x14ac:dyDescent="0.45">
      <c r="B23" s="37" t="s">
        <v>21</v>
      </c>
      <c r="C23" s="33"/>
      <c r="D23" s="34"/>
      <c r="E23" s="34"/>
      <c r="F23" s="34"/>
      <c r="G23" s="34"/>
      <c r="H23" s="34"/>
      <c r="I23" s="35"/>
      <c r="J23" s="35"/>
      <c r="K23" s="36"/>
    </row>
    <row r="24" spans="2:11" ht="23.4" x14ac:dyDescent="0.45">
      <c r="B24" s="33" t="s">
        <v>18</v>
      </c>
      <c r="C24" s="34"/>
      <c r="D24" s="34"/>
      <c r="E24" s="34"/>
      <c r="F24" s="34"/>
      <c r="G24" s="34"/>
      <c r="H24" s="34"/>
      <c r="I24" s="35"/>
      <c r="J24" s="35"/>
      <c r="K24" s="36"/>
    </row>
    <row r="31" spans="2:11" x14ac:dyDescent="0.3">
      <c r="B31" s="9"/>
    </row>
  </sheetData>
  <mergeCells count="8">
    <mergeCell ref="B19:D20"/>
    <mergeCell ref="B1:M1"/>
    <mergeCell ref="B2:D3"/>
    <mergeCell ref="B4:D4"/>
    <mergeCell ref="F2:H3"/>
    <mergeCell ref="F4:H4"/>
    <mergeCell ref="J2:M3"/>
    <mergeCell ref="J4: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USER ENGAGEMENT BY MUSIC GENRE</vt:lpstr>
      <vt:lpstr>ENGAGEMEN BY SUBSCRIPTION TYPE </vt:lpstr>
      <vt:lpstr>MUSIC STREAMING ENGAGEMENT 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 YADAV</dc:creator>
  <cp:lastModifiedBy>ASTHA YADAV</cp:lastModifiedBy>
  <dcterms:created xsi:type="dcterms:W3CDTF">2026-05-25T09:12:29Z</dcterms:created>
  <dcterms:modified xsi:type="dcterms:W3CDTF">2026-05-25T13:13:02Z</dcterms:modified>
</cp:coreProperties>
</file>